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sair_Barillas\Documents\FAB\Quant\UMBootcamp\UM_Homework\HW3_Python\python-challenge\PyBank\Resources\"/>
    </mc:Choice>
  </mc:AlternateContent>
  <xr:revisionPtr revIDLastSave="0" documentId="13_ncr:1_{4001D827-5CDE-44D0-AEFC-68F7AFCF4F53}" xr6:coauthVersionLast="46" xr6:coauthVersionMax="46" xr10:uidLastSave="{00000000-0000-0000-0000-000000000000}"/>
  <bookViews>
    <workbookView xWindow="-28920" yWindow="-120" windowWidth="29040" windowHeight="15840" activeTab="1" xr2:uid="{00000000-000D-0000-FFFF-FFFF00000000}"/>
  </bookViews>
  <sheets>
    <sheet name="PyBank_PnL" sheetId="1" r:id="rId1"/>
    <sheet name="PyBank_PnL_Excel" sheetId="2" r:id="rId2"/>
  </sheets>
  <definedNames>
    <definedName name="_xlnm._FilterDatabase" localSheetId="0" hidden="1">PyBank_PnL!$A$1:$C$87</definedName>
    <definedName name="_xlnm._FilterDatabase" localSheetId="1" hidden="1">PyBank_PnL_Excel!$A$1:$C$87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2" l="1"/>
  <c r="G13" i="2"/>
  <c r="F14" i="2"/>
  <c r="F13" i="2"/>
  <c r="G11" i="2"/>
  <c r="G10" i="2"/>
  <c r="F11" i="2"/>
  <c r="F10" i="2"/>
  <c r="F8" i="2"/>
  <c r="F7" i="2"/>
  <c r="F6" i="2"/>
  <c r="F4" i="2"/>
  <c r="F3" i="2"/>
  <c r="F2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3" i="2"/>
</calcChain>
</file>

<file path=xl/sharedStrings.xml><?xml version="1.0" encoding="utf-8"?>
<sst xmlns="http://schemas.openxmlformats.org/spreadsheetml/2006/main" count="32" uniqueCount="16">
  <si>
    <t>Date</t>
  </si>
  <si>
    <t>Profit/Losses</t>
  </si>
  <si>
    <t>Total Months:</t>
  </si>
  <si>
    <t>Delta</t>
  </si>
  <si>
    <t>Summary Values</t>
  </si>
  <si>
    <t>Positive Months:</t>
  </si>
  <si>
    <t>Negative Months:</t>
  </si>
  <si>
    <t>Total Net Profit:</t>
  </si>
  <si>
    <t>Average Monthly Profit:</t>
  </si>
  <si>
    <t>Average Monthly Change:</t>
  </si>
  <si>
    <t>Maximum Profit:</t>
  </si>
  <si>
    <t>Minimum Profit:</t>
  </si>
  <si>
    <t>Max Profit Increase:</t>
  </si>
  <si>
    <t>Min Profit Increase:</t>
  </si>
  <si>
    <t>NOT WORKING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</si>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</sst>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#,##0.00;[Red]\ \-#,##0.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indexed="6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0" fontId="13" fillId="33" borderId="0" xfId="0" applyFont="1" applyFill="1" applyAlignment="1">
      <alignment horizontal="center" vertical="center"/>
    </xf>
    <xf numFmtId="17" fontId="0" fillId="0" borderId="0" xfId="0" applyNumberFormat="1" applyAlignment="1">
      <alignment vertical="center"/>
    </xf>
    <xf numFmtId="0" fontId="0" fillId="34" borderId="0" xfId="0" applyFill="1" applyAlignment="1">
      <alignment vertical="center"/>
    </xf>
    <xf numFmtId="0" fontId="18" fillId="34" borderId="0" xfId="0" applyFont="1" applyFill="1" applyAlignment="1">
      <alignment horizontal="right" vertical="center"/>
    </xf>
    <xf numFmtId="164" fontId="0" fillId="0" borderId="0" xfId="1" applyNumberFormat="1" applyFont="1" applyAlignment="1">
      <alignment vertical="center"/>
    </xf>
    <xf numFmtId="164" fontId="0" fillId="0" borderId="0" xfId="0" applyNumberFormat="1" applyAlignment="1">
      <alignment vertical="center"/>
    </xf>
    <xf numFmtId="0" fontId="18" fillId="34" borderId="0" xfId="0" applyFont="1" applyFill="1" applyAlignment="1">
      <alignment horizontal="center" vertical="center"/>
    </xf>
    <xf numFmtId="164" fontId="0" fillId="34" borderId="0" xfId="0" applyNumberFormat="1" applyFill="1" applyAlignment="1">
      <alignment vertical="center"/>
    </xf>
    <xf numFmtId="0" fontId="0" fillId="0" borderId="0" xfId="0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8"/>
  <sheetViews>
    <sheetView workbookViewId="0">
      <selection activeCell="F6" sqref="F6"/>
    </sheetView>
  </sheetViews>
  <sheetFormatPr defaultRowHeight="15.75" x14ac:dyDescent="0.25"/>
  <cols>
    <col min="1" max="1" width="12.875" style="1" customWidth="1"/>
    <col min="2" max="2" width="16.5" style="1" customWidth="1"/>
    <col min="3" max="3" width="12.5" style="1" bestFit="1" customWidth="1"/>
    <col min="4" max="4" width="9" style="1"/>
    <col min="5" max="5" width="25.625" style="1" customWidth="1"/>
    <col min="6" max="6" width="15.75" style="1" customWidth="1"/>
    <col min="7" max="7" width="15.625" style="1" customWidth="1"/>
    <col min="8" max="16384" width="9" style="1"/>
  </cols>
  <sheetData>
    <row r="1" spans="1:9" x14ac:dyDescent="0.25">
      <c r="A1" s="2" t="s">
        <v>0</v>
      </c>
      <c r="B1" s="2" t="s">
        <v>1</v>
      </c>
      <c r="C1" s="8" t="s">
        <v>3</v>
      </c>
      <c r="E1" s="5" t="s">
        <v>4</v>
      </c>
      <c r="F1" s="4"/>
    </row>
    <row r="2" spans="1:9" x14ac:dyDescent="0.25">
      <c r="A2" s="3">
        <v>40179</v>
      </c>
      <c r="B2" s="6">
        <v>867884</v>
      </c>
      <c r="C2" s="9"/>
      <c r="E2" s="5" t="s">
        <v>5</v>
      </c>
      <c r="F2" s="1">
        <v>74</v>
      </c>
    </row>
    <row r="3" spans="1:9" x14ac:dyDescent="0.25">
      <c r="A3" s="3">
        <v>40210</v>
      </c>
      <c r="B3" s="6">
        <v>984655</v>
      </c>
      <c r="C3" s="7">
        <v>116771</v>
      </c>
      <c r="E3" s="5" t="s">
        <v>6</v>
      </c>
      <c r="F3" s="1">
        <v>12</v>
      </c>
    </row>
    <row r="4" spans="1:9" x14ac:dyDescent="0.25">
      <c r="A4" s="3">
        <v>40238</v>
      </c>
      <c r="B4" s="6">
        <v>322013</v>
      </c>
      <c r="C4" s="7">
        <v>-662642</v>
      </c>
      <c r="E4" s="5" t="s">
        <v>2</v>
      </c>
      <c r="F4" s="1">
        <v>86</v>
      </c>
    </row>
    <row r="5" spans="1:9" x14ac:dyDescent="0.25">
      <c r="A5" s="3">
        <v>40269</v>
      </c>
      <c r="B5" s="6">
        <v>-69417</v>
      </c>
      <c r="C5" s="7">
        <v>-391430</v>
      </c>
      <c r="E5" s="5"/>
    </row>
    <row r="6" spans="1:9" x14ac:dyDescent="0.25">
      <c r="A6" s="3">
        <v>40299</v>
      </c>
      <c r="B6" s="6">
        <v>310503</v>
      </c>
      <c r="C6" s="7">
        <v>379920</v>
      </c>
      <c r="E6" s="5" t="s">
        <v>7</v>
      </c>
      <c r="F6" s="7">
        <v>1538983</v>
      </c>
    </row>
    <row r="7" spans="1:9" x14ac:dyDescent="0.25">
      <c r="A7" s="3">
        <v>40330</v>
      </c>
      <c r="B7" s="6">
        <v>522857</v>
      </c>
      <c r="C7" s="7">
        <v>212354</v>
      </c>
      <c r="E7" s="5" t="s">
        <v>8</v>
      </c>
      <c r="F7" s="7">
        <v>769491.5</v>
      </c>
    </row>
    <row r="8" spans="1:9" x14ac:dyDescent="0.25">
      <c r="A8" s="3">
        <v>40360</v>
      </c>
      <c r="B8" s="6">
        <v>1033096</v>
      </c>
      <c r="C8" s="7">
        <v>510239</v>
      </c>
      <c r="E8" s="5" t="s">
        <v>9</v>
      </c>
      <c r="F8" s="7">
        <v>324820</v>
      </c>
    </row>
    <row r="9" spans="1:9" x14ac:dyDescent="0.25">
      <c r="A9" s="3">
        <v>40391</v>
      </c>
      <c r="B9" s="6">
        <v>604885</v>
      </c>
      <c r="C9" s="7">
        <v>-428211</v>
      </c>
      <c r="E9" s="5"/>
      <c r="F9" s="7"/>
      <c r="G9" s="8" t="s">
        <v>0</v>
      </c>
    </row>
    <row r="10" spans="1:9" x14ac:dyDescent="0.25">
      <c r="A10" s="3">
        <v>40422</v>
      </c>
      <c r="B10" s="6">
        <v>-216386</v>
      </c>
      <c r="C10" s="7">
        <v>-821271</v>
      </c>
      <c r="E10" s="5" t="s">
        <v>10</v>
      </c>
      <c r="F10" s="7">
        <v>867884</v>
      </c>
      <c r="G10" s="3">
        <v>40179</v>
      </c>
      <c r="I10" s="1" t="s">
        <v>14</v>
      </c>
    </row>
    <row r="11" spans="1:9" x14ac:dyDescent="0.25">
      <c r="A11" s="3">
        <v>40452</v>
      </c>
      <c r="B11" s="6">
        <v>477532</v>
      </c>
      <c r="C11" s="7">
        <v>693918</v>
      </c>
      <c r="E11" s="5" t="s">
        <v>11</v>
      </c>
      <c r="F11" s="7">
        <v>671099</v>
      </c>
      <c r="G11" s="3">
        <v>42767</v>
      </c>
    </row>
    <row r="12" spans="1:9" x14ac:dyDescent="0.25">
      <c r="A12" s="3">
        <v>40483</v>
      </c>
      <c r="B12" s="6">
        <v>893810</v>
      </c>
      <c r="C12" s="7">
        <v>416278</v>
      </c>
      <c r="E12" s="5"/>
      <c r="F12" s="7"/>
      <c r="G12" s="3"/>
    </row>
    <row r="13" spans="1:9" x14ac:dyDescent="0.25">
      <c r="A13" s="3">
        <v>40513</v>
      </c>
      <c r="B13" s="6">
        <v>-80353</v>
      </c>
      <c r="C13" s="7">
        <v>-974163</v>
      </c>
      <c r="E13" s="5" t="s">
        <v>12</v>
      </c>
      <c r="F13" s="7">
        <v>532869</v>
      </c>
      <c r="G13" s="3">
        <v>42767</v>
      </c>
    </row>
    <row r="14" spans="1:9" x14ac:dyDescent="0.25">
      <c r="A14" s="3">
        <v>40544</v>
      </c>
      <c r="B14" s="6">
        <v>779806</v>
      </c>
      <c r="C14" s="7">
        <v>860159</v>
      </c>
      <c r="E14" s="5" t="s">
        <v>13</v>
      </c>
      <c r="F14" s="7">
        <v>116771</v>
      </c>
      <c r="G14" s="3">
        <v>40210</v>
      </c>
    </row>
    <row r="15" spans="1:9" x14ac:dyDescent="0.25">
      <c r="A15" s="3">
        <v>40575</v>
      </c>
      <c r="B15" s="6">
        <v>-335203</v>
      </c>
      <c r="C15" s="7">
        <v>-1115009</v>
      </c>
    </row>
    <row r="16" spans="1:9" x14ac:dyDescent="0.25">
      <c r="A16" s="3">
        <v>40603</v>
      </c>
      <c r="B16" s="6">
        <v>697845</v>
      </c>
      <c r="C16" s="7">
        <v>1033048</v>
      </c>
    </row>
    <row r="17" spans="1:3" x14ac:dyDescent="0.25">
      <c r="A17" s="3">
        <v>40634</v>
      </c>
      <c r="B17" s="6">
        <v>793163</v>
      </c>
      <c r="C17" s="7">
        <v>95318</v>
      </c>
    </row>
    <row r="18" spans="1:3" x14ac:dyDescent="0.25">
      <c r="A18" s="3">
        <v>40664</v>
      </c>
      <c r="B18" s="6">
        <v>485070</v>
      </c>
      <c r="C18" s="7">
        <v>-308093</v>
      </c>
    </row>
    <row r="19" spans="1:3" x14ac:dyDescent="0.25">
      <c r="A19" s="3">
        <v>40695</v>
      </c>
      <c r="B19" s="6">
        <v>584122</v>
      </c>
      <c r="C19" s="7">
        <v>99052</v>
      </c>
    </row>
    <row r="20" spans="1:3" x14ac:dyDescent="0.25">
      <c r="A20" s="3">
        <v>40725</v>
      </c>
      <c r="B20" s="6">
        <v>62729</v>
      </c>
      <c r="C20" s="7">
        <v>-521393</v>
      </c>
    </row>
    <row r="21" spans="1:3" x14ac:dyDescent="0.25">
      <c r="A21" s="3">
        <v>40756</v>
      </c>
      <c r="B21" s="6">
        <v>668179</v>
      </c>
      <c r="C21" s="7">
        <v>605450</v>
      </c>
    </row>
    <row r="22" spans="1:3" x14ac:dyDescent="0.25">
      <c r="A22" s="3">
        <v>40787</v>
      </c>
      <c r="B22" s="6">
        <v>899906</v>
      </c>
      <c r="C22" s="7">
        <v>231727</v>
      </c>
    </row>
    <row r="23" spans="1:3" x14ac:dyDescent="0.25">
      <c r="A23" s="3">
        <v>40817</v>
      </c>
      <c r="B23" s="6">
        <v>834719</v>
      </c>
      <c r="C23" s="7">
        <v>-65187</v>
      </c>
    </row>
    <row r="24" spans="1:3" x14ac:dyDescent="0.25">
      <c r="A24" s="3">
        <v>40848</v>
      </c>
      <c r="B24" s="6">
        <v>132003</v>
      </c>
      <c r="C24" s="7">
        <v>-702716</v>
      </c>
    </row>
    <row r="25" spans="1:3" x14ac:dyDescent="0.25">
      <c r="A25" s="3">
        <v>40878</v>
      </c>
      <c r="B25" s="6">
        <v>309978</v>
      </c>
      <c r="C25" s="7">
        <v>177975</v>
      </c>
    </row>
    <row r="26" spans="1:3" x14ac:dyDescent="0.25">
      <c r="A26" s="3">
        <v>40909</v>
      </c>
      <c r="B26" s="6">
        <v>-755566</v>
      </c>
      <c r="C26" s="7">
        <v>-1065544</v>
      </c>
    </row>
    <row r="27" spans="1:3" x14ac:dyDescent="0.25">
      <c r="A27" s="3">
        <v>40940</v>
      </c>
      <c r="B27" s="6">
        <v>1170593</v>
      </c>
      <c r="C27" s="7">
        <v>1926159</v>
      </c>
    </row>
    <row r="28" spans="1:3" x14ac:dyDescent="0.25">
      <c r="A28" s="3">
        <v>40969</v>
      </c>
      <c r="B28" s="6">
        <v>252788</v>
      </c>
      <c r="C28" s="7">
        <v>-917805</v>
      </c>
    </row>
    <row r="29" spans="1:3" x14ac:dyDescent="0.25">
      <c r="A29" s="3">
        <v>41000</v>
      </c>
      <c r="B29" s="6">
        <v>1151518</v>
      </c>
      <c r="C29" s="7">
        <v>898730</v>
      </c>
    </row>
    <row r="30" spans="1:3" x14ac:dyDescent="0.25">
      <c r="A30" s="3">
        <v>41030</v>
      </c>
      <c r="B30" s="6">
        <v>817256</v>
      </c>
      <c r="C30" s="7">
        <v>-334262</v>
      </c>
    </row>
    <row r="31" spans="1:3" x14ac:dyDescent="0.25">
      <c r="A31" s="3">
        <v>41061</v>
      </c>
      <c r="B31" s="6">
        <v>570757</v>
      </c>
      <c r="C31" s="7">
        <v>-246499</v>
      </c>
    </row>
    <row r="32" spans="1:3" x14ac:dyDescent="0.25">
      <c r="A32" s="3">
        <v>41091</v>
      </c>
      <c r="B32" s="6">
        <v>506702</v>
      </c>
      <c r="C32" s="7">
        <v>-64055</v>
      </c>
    </row>
    <row r="33" spans="1:3" x14ac:dyDescent="0.25">
      <c r="A33" s="3">
        <v>41122</v>
      </c>
      <c r="B33" s="6">
        <v>-1022534</v>
      </c>
      <c r="C33" s="7">
        <v>-1529236</v>
      </c>
    </row>
    <row r="34" spans="1:3" x14ac:dyDescent="0.25">
      <c r="A34" s="3">
        <v>41153</v>
      </c>
      <c r="B34" s="6">
        <v>475062</v>
      </c>
      <c r="C34" s="7">
        <v>1497596</v>
      </c>
    </row>
    <row r="35" spans="1:3" x14ac:dyDescent="0.25">
      <c r="A35" s="3">
        <v>41183</v>
      </c>
      <c r="B35" s="6">
        <v>779976</v>
      </c>
      <c r="C35" s="7">
        <v>304914</v>
      </c>
    </row>
    <row r="36" spans="1:3" x14ac:dyDescent="0.25">
      <c r="A36" s="3">
        <v>41214</v>
      </c>
      <c r="B36" s="6">
        <v>144175</v>
      </c>
      <c r="C36" s="7">
        <v>-635801</v>
      </c>
    </row>
    <row r="37" spans="1:3" x14ac:dyDescent="0.25">
      <c r="A37" s="3">
        <v>41244</v>
      </c>
      <c r="B37" s="6">
        <v>542494</v>
      </c>
      <c r="C37" s="7">
        <v>398319</v>
      </c>
    </row>
    <row r="38" spans="1:3" x14ac:dyDescent="0.25">
      <c r="A38" s="3">
        <v>41275</v>
      </c>
      <c r="B38" s="6">
        <v>359333</v>
      </c>
      <c r="C38" s="7">
        <v>-183161</v>
      </c>
    </row>
    <row r="39" spans="1:3" x14ac:dyDescent="0.25">
      <c r="A39" s="3">
        <v>41306</v>
      </c>
      <c r="B39" s="6">
        <v>321469</v>
      </c>
      <c r="C39" s="7">
        <v>-37864</v>
      </c>
    </row>
    <row r="40" spans="1:3" x14ac:dyDescent="0.25">
      <c r="A40" s="3">
        <v>41334</v>
      </c>
      <c r="B40" s="6">
        <v>67780</v>
      </c>
      <c r="C40" s="7">
        <v>-253689</v>
      </c>
    </row>
    <row r="41" spans="1:3" x14ac:dyDescent="0.25">
      <c r="A41" s="3">
        <v>41365</v>
      </c>
      <c r="B41" s="6">
        <v>471435</v>
      </c>
      <c r="C41" s="7">
        <v>403655</v>
      </c>
    </row>
    <row r="42" spans="1:3" x14ac:dyDescent="0.25">
      <c r="A42" s="3">
        <v>41395</v>
      </c>
      <c r="B42" s="6">
        <v>565603</v>
      </c>
      <c r="C42" s="7">
        <v>94168</v>
      </c>
    </row>
    <row r="43" spans="1:3" x14ac:dyDescent="0.25">
      <c r="A43" s="3">
        <v>41426</v>
      </c>
      <c r="B43" s="6">
        <v>872480</v>
      </c>
      <c r="C43" s="7">
        <v>306877</v>
      </c>
    </row>
    <row r="44" spans="1:3" x14ac:dyDescent="0.25">
      <c r="A44" s="3">
        <v>41456</v>
      </c>
      <c r="B44" s="6">
        <v>789480</v>
      </c>
      <c r="C44" s="7">
        <v>-83000</v>
      </c>
    </row>
    <row r="45" spans="1:3" x14ac:dyDescent="0.25">
      <c r="A45" s="3">
        <v>41487</v>
      </c>
      <c r="B45" s="6">
        <v>999942</v>
      </c>
      <c r="C45" s="7">
        <v>210462</v>
      </c>
    </row>
    <row r="46" spans="1:3" x14ac:dyDescent="0.25">
      <c r="A46" s="3">
        <v>41518</v>
      </c>
      <c r="B46" s="6">
        <v>-1196225</v>
      </c>
      <c r="C46" s="7">
        <v>-2196167</v>
      </c>
    </row>
    <row r="47" spans="1:3" x14ac:dyDescent="0.25">
      <c r="A47" s="3">
        <v>41548</v>
      </c>
      <c r="B47" s="6">
        <v>268997</v>
      </c>
      <c r="C47" s="7">
        <v>1465222</v>
      </c>
    </row>
    <row r="48" spans="1:3" x14ac:dyDescent="0.25">
      <c r="A48" s="3">
        <v>41579</v>
      </c>
      <c r="B48" s="6">
        <v>-687986</v>
      </c>
      <c r="C48" s="7">
        <v>-956983</v>
      </c>
    </row>
    <row r="49" spans="1:3" x14ac:dyDescent="0.25">
      <c r="A49" s="3">
        <v>41609</v>
      </c>
      <c r="B49" s="6">
        <v>1150461</v>
      </c>
      <c r="C49" s="7">
        <v>1838447</v>
      </c>
    </row>
    <row r="50" spans="1:3" x14ac:dyDescent="0.25">
      <c r="A50" s="3">
        <v>41640</v>
      </c>
      <c r="B50" s="6">
        <v>682458</v>
      </c>
      <c r="C50" s="7">
        <v>-468003</v>
      </c>
    </row>
    <row r="51" spans="1:3" x14ac:dyDescent="0.25">
      <c r="A51" s="3">
        <v>41671</v>
      </c>
      <c r="B51" s="6">
        <v>617856</v>
      </c>
      <c r="C51" s="7">
        <v>-64602</v>
      </c>
    </row>
    <row r="52" spans="1:3" x14ac:dyDescent="0.25">
      <c r="A52" s="3">
        <v>41699</v>
      </c>
      <c r="B52" s="6">
        <v>824098</v>
      </c>
      <c r="C52" s="7">
        <v>206242</v>
      </c>
    </row>
    <row r="53" spans="1:3" x14ac:dyDescent="0.25">
      <c r="A53" s="3">
        <v>41730</v>
      </c>
      <c r="B53" s="6">
        <v>581943</v>
      </c>
      <c r="C53" s="7">
        <v>-242155</v>
      </c>
    </row>
    <row r="54" spans="1:3" x14ac:dyDescent="0.25">
      <c r="A54" s="3">
        <v>41760</v>
      </c>
      <c r="B54" s="6">
        <v>132864</v>
      </c>
      <c r="C54" s="7">
        <v>-449079</v>
      </c>
    </row>
    <row r="55" spans="1:3" x14ac:dyDescent="0.25">
      <c r="A55" s="3">
        <v>41791</v>
      </c>
      <c r="B55" s="6">
        <v>448062</v>
      </c>
      <c r="C55" s="7">
        <v>315198</v>
      </c>
    </row>
    <row r="56" spans="1:3" x14ac:dyDescent="0.25">
      <c r="A56" s="3">
        <v>41821</v>
      </c>
      <c r="B56" s="6">
        <v>689161</v>
      </c>
      <c r="C56" s="7">
        <v>241099</v>
      </c>
    </row>
    <row r="57" spans="1:3" x14ac:dyDescent="0.25">
      <c r="A57" s="3">
        <v>41852</v>
      </c>
      <c r="B57" s="6">
        <v>800701</v>
      </c>
      <c r="C57" s="7">
        <v>111540</v>
      </c>
    </row>
    <row r="58" spans="1:3" x14ac:dyDescent="0.25">
      <c r="A58" s="3">
        <v>41883</v>
      </c>
      <c r="B58" s="6">
        <v>1166643</v>
      </c>
      <c r="C58" s="7">
        <v>365942</v>
      </c>
    </row>
    <row r="59" spans="1:3" x14ac:dyDescent="0.25">
      <c r="A59" s="3">
        <v>41913</v>
      </c>
      <c r="B59" s="6">
        <v>947333</v>
      </c>
      <c r="C59" s="7">
        <v>-219310</v>
      </c>
    </row>
    <row r="60" spans="1:3" x14ac:dyDescent="0.25">
      <c r="A60" s="3">
        <v>41944</v>
      </c>
      <c r="B60" s="6">
        <v>578668</v>
      </c>
      <c r="C60" s="7">
        <v>-368665</v>
      </c>
    </row>
    <row r="61" spans="1:3" x14ac:dyDescent="0.25">
      <c r="A61" s="3">
        <v>41974</v>
      </c>
      <c r="B61" s="6">
        <v>988505</v>
      </c>
      <c r="C61" s="7">
        <v>409837</v>
      </c>
    </row>
    <row r="62" spans="1:3" x14ac:dyDescent="0.25">
      <c r="A62" s="3">
        <v>42005</v>
      </c>
      <c r="B62" s="6">
        <v>1139715</v>
      </c>
      <c r="C62" s="7">
        <v>151210</v>
      </c>
    </row>
    <row r="63" spans="1:3" x14ac:dyDescent="0.25">
      <c r="A63" s="3">
        <v>42036</v>
      </c>
      <c r="B63" s="6">
        <v>1029471</v>
      </c>
      <c r="C63" s="7">
        <v>-110244</v>
      </c>
    </row>
    <row r="64" spans="1:3" x14ac:dyDescent="0.25">
      <c r="A64" s="3">
        <v>42064</v>
      </c>
      <c r="B64" s="6">
        <v>687533</v>
      </c>
      <c r="C64" s="7">
        <v>-341938</v>
      </c>
    </row>
    <row r="65" spans="1:3" x14ac:dyDescent="0.25">
      <c r="A65" s="3">
        <v>42095</v>
      </c>
      <c r="B65" s="6">
        <v>-524626</v>
      </c>
      <c r="C65" s="7">
        <v>-1212159</v>
      </c>
    </row>
    <row r="66" spans="1:3" x14ac:dyDescent="0.25">
      <c r="A66" s="3">
        <v>42125</v>
      </c>
      <c r="B66" s="6">
        <v>158620</v>
      </c>
      <c r="C66" s="7">
        <v>683246</v>
      </c>
    </row>
    <row r="67" spans="1:3" x14ac:dyDescent="0.25">
      <c r="A67" s="3">
        <v>42156</v>
      </c>
      <c r="B67" s="6">
        <v>87795</v>
      </c>
      <c r="C67" s="7">
        <v>-70825</v>
      </c>
    </row>
    <row r="68" spans="1:3" x14ac:dyDescent="0.25">
      <c r="A68" s="3">
        <v>42186</v>
      </c>
      <c r="B68" s="6">
        <v>423389</v>
      </c>
      <c r="C68" s="7">
        <v>335594</v>
      </c>
    </row>
    <row r="69" spans="1:3" x14ac:dyDescent="0.25">
      <c r="A69" s="3">
        <v>42217</v>
      </c>
      <c r="B69" s="6">
        <v>840723</v>
      </c>
      <c r="C69" s="7">
        <v>417334</v>
      </c>
    </row>
    <row r="70" spans="1:3" x14ac:dyDescent="0.25">
      <c r="A70" s="3">
        <v>42248</v>
      </c>
      <c r="B70" s="6">
        <v>568529</v>
      </c>
      <c r="C70" s="7">
        <v>-272194</v>
      </c>
    </row>
    <row r="71" spans="1:3" x14ac:dyDescent="0.25">
      <c r="A71" s="3">
        <v>42278</v>
      </c>
      <c r="B71" s="6">
        <v>332067</v>
      </c>
      <c r="C71" s="7">
        <v>-236462</v>
      </c>
    </row>
    <row r="72" spans="1:3" x14ac:dyDescent="0.25">
      <c r="A72" s="3">
        <v>42309</v>
      </c>
      <c r="B72" s="6">
        <v>989499</v>
      </c>
      <c r="C72" s="7">
        <v>657432</v>
      </c>
    </row>
    <row r="73" spans="1:3" x14ac:dyDescent="0.25">
      <c r="A73" s="3">
        <v>42339</v>
      </c>
      <c r="B73" s="6">
        <v>778237</v>
      </c>
      <c r="C73" s="7">
        <v>-211262</v>
      </c>
    </row>
    <row r="74" spans="1:3" x14ac:dyDescent="0.25">
      <c r="A74" s="3">
        <v>42370</v>
      </c>
      <c r="B74" s="6">
        <v>650000</v>
      </c>
      <c r="C74" s="7">
        <v>-128237</v>
      </c>
    </row>
    <row r="75" spans="1:3" x14ac:dyDescent="0.25">
      <c r="A75" s="3">
        <v>42401</v>
      </c>
      <c r="B75" s="6">
        <v>-1100387</v>
      </c>
      <c r="C75" s="7">
        <v>-1750387</v>
      </c>
    </row>
    <row r="76" spans="1:3" x14ac:dyDescent="0.25">
      <c r="A76" s="3">
        <v>42430</v>
      </c>
      <c r="B76" s="6">
        <v>-174946</v>
      </c>
      <c r="C76" s="7">
        <v>925441</v>
      </c>
    </row>
    <row r="77" spans="1:3" x14ac:dyDescent="0.25">
      <c r="A77" s="3">
        <v>42461</v>
      </c>
      <c r="B77" s="6">
        <v>757143</v>
      </c>
      <c r="C77" s="7">
        <v>932089</v>
      </c>
    </row>
    <row r="78" spans="1:3" x14ac:dyDescent="0.25">
      <c r="A78" s="3">
        <v>42491</v>
      </c>
      <c r="B78" s="6">
        <v>445709</v>
      </c>
      <c r="C78" s="7">
        <v>-311434</v>
      </c>
    </row>
    <row r="79" spans="1:3" x14ac:dyDescent="0.25">
      <c r="A79" s="3">
        <v>42522</v>
      </c>
      <c r="B79" s="6">
        <v>712961</v>
      </c>
      <c r="C79" s="7">
        <v>267252</v>
      </c>
    </row>
    <row r="80" spans="1:3" x14ac:dyDescent="0.25">
      <c r="A80" s="3">
        <v>42552</v>
      </c>
      <c r="B80" s="6">
        <v>-1163797</v>
      </c>
      <c r="C80" s="7">
        <v>-1876758</v>
      </c>
    </row>
    <row r="81" spans="1:3" x14ac:dyDescent="0.25">
      <c r="A81" s="3">
        <v>42583</v>
      </c>
      <c r="B81" s="6">
        <v>569899</v>
      </c>
      <c r="C81" s="7">
        <v>1733696</v>
      </c>
    </row>
    <row r="82" spans="1:3" x14ac:dyDescent="0.25">
      <c r="A82" s="3">
        <v>42614</v>
      </c>
      <c r="B82" s="6">
        <v>768450</v>
      </c>
      <c r="C82" s="7">
        <v>198551</v>
      </c>
    </row>
    <row r="83" spans="1:3" x14ac:dyDescent="0.25">
      <c r="A83" s="3">
        <v>42644</v>
      </c>
      <c r="B83" s="6">
        <v>102685</v>
      </c>
      <c r="C83" s="7">
        <v>-665765</v>
      </c>
    </row>
    <row r="84" spans="1:3" x14ac:dyDescent="0.25">
      <c r="A84" s="3">
        <v>42675</v>
      </c>
      <c r="B84" s="6">
        <v>795914</v>
      </c>
      <c r="C84" s="7">
        <v>693229</v>
      </c>
    </row>
    <row r="85" spans="1:3" x14ac:dyDescent="0.25">
      <c r="A85" s="3">
        <v>42705</v>
      </c>
      <c r="B85" s="6">
        <v>60988</v>
      </c>
      <c r="C85" s="7">
        <v>-734926</v>
      </c>
    </row>
    <row r="86" spans="1:3" x14ac:dyDescent="0.25">
      <c r="A86" s="3">
        <v>42736</v>
      </c>
      <c r="B86" s="6">
        <v>138230</v>
      </c>
      <c r="C86" s="7">
        <v>77242</v>
      </c>
    </row>
    <row r="87" spans="1:3" x14ac:dyDescent="0.25">
      <c r="A87" s="3">
        <v>42767</v>
      </c>
      <c r="B87" s="6">
        <v>671099</v>
      </c>
      <c r="C87" s="7">
        <v>532869</v>
      </c>
    </row>
    <row r="88" spans="1:3" x14ac:dyDescent="0.25">
      <c r="C88" s="1">
        <v>-671099</v>
      </c>
    </row>
  </sheetData>
  <autoFilter ref="A1:C87" xr:uid="{0FE674D5-7C5F-48C9-B1EA-880E86A2E1E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374C3-6EC2-40C2-A4D9-3E1A5F69AE7E}">
  <sheetPr codeName="Sheet2"/>
  <dimension ref="A1:G88"/>
  <sheetViews>
    <sheetView tabSelected="1" workbookViewId="0">
      <selection activeCell="F64" sqref="F64"/>
    </sheetView>
  </sheetViews>
  <sheetFormatPr defaultRowHeight="15.75" x14ac:dyDescent="0.25"/>
  <cols>
    <col min="1" max="1" width="12.875" style="1" customWidth="1"/>
    <col min="2" max="2" width="16.5" style="1" customWidth="1"/>
    <col min="3" max="3" width="12.5" style="1" bestFit="1" customWidth="1"/>
    <col min="4" max="4" width="9" style="1"/>
    <col min="5" max="5" width="25.625" style="1" customWidth="1"/>
    <col min="6" max="6" width="15.75" style="1" customWidth="1"/>
    <col min="7" max="7" width="15.625" style="1" customWidth="1"/>
    <col min="8" max="16384" width="9" style="1"/>
  </cols>
  <sheetData>
    <row r="1" spans="1:7" x14ac:dyDescent="0.25">
      <c r="A1" s="2" t="s">
        <v>0</v>
      </c>
      <c r="B1" s="2" t="s">
        <v>1</v>
      </c>
      <c r="C1" s="8" t="s">
        <v>3</v>
      </c>
      <c r="D1" s="1" t="s">
        <v>15</v>
      </c>
      <c r="E1" s="5" t="s">
        <v>4</v>
      </c>
      <c r="F1" s="4"/>
    </row>
    <row r="2" spans="1:7" x14ac:dyDescent="0.25">
      <c r="A2" s="3">
        <v>40179</v>
      </c>
      <c r="B2" s="6">
        <v>867884</v>
      </c>
      <c r="C2" s="9"/>
      <c r="D2" s="10">
        <v>0</v>
      </c>
      <c r="E2" s="5" t="s">
        <v>5</v>
      </c>
      <c r="F2" s="1">
        <f>COUNTIF(B$2:B$87, "&gt;0")</f>
        <v>74</v>
      </c>
    </row>
    <row r="3" spans="1:7" x14ac:dyDescent="0.25">
      <c r="A3" s="3">
        <v>40210</v>
      </c>
      <c r="B3" s="6">
        <v>984655</v>
      </c>
      <c r="C3" s="7">
        <f>B3-B2</f>
        <v>116771</v>
      </c>
      <c r="D3" s="10">
        <v>1</v>
      </c>
      <c r="E3" s="5" t="s">
        <v>6</v>
      </c>
      <c r="F3" s="1">
        <f>COUNTIF(B$2:B$87, "&lt;0")</f>
        <v>12</v>
      </c>
    </row>
    <row r="4" spans="1:7" x14ac:dyDescent="0.25">
      <c r="A4" s="3">
        <v>40238</v>
      </c>
      <c r="B4" s="6">
        <v>322013</v>
      </c>
      <c r="C4" s="7">
        <f t="shared" ref="C4:C67" si="0">B4-B3</f>
        <v>-662642</v>
      </c>
      <c r="D4" s="10">
        <v>2</v>
      </c>
      <c r="E4" s="5" t="s">
        <v>2</v>
      </c>
      <c r="F4" s="1">
        <f>COUNT(A2:A87)</f>
        <v>86</v>
      </c>
    </row>
    <row r="5" spans="1:7" x14ac:dyDescent="0.25">
      <c r="A5" s="3">
        <v>40269</v>
      </c>
      <c r="B5" s="6">
        <v>-69417</v>
      </c>
      <c r="C5" s="7">
        <f t="shared" si="0"/>
        <v>-391430</v>
      </c>
      <c r="D5" s="10">
        <v>3</v>
      </c>
      <c r="E5" s="5"/>
    </row>
    <row r="6" spans="1:7" x14ac:dyDescent="0.25">
      <c r="A6" s="3">
        <v>40299</v>
      </c>
      <c r="B6" s="6">
        <v>310503</v>
      </c>
      <c r="C6" s="7">
        <f t="shared" si="0"/>
        <v>379920</v>
      </c>
      <c r="D6" s="10">
        <v>4</v>
      </c>
      <c r="E6" s="5" t="s">
        <v>7</v>
      </c>
      <c r="F6" s="7">
        <f>SUM(B2:B87)</f>
        <v>38382578</v>
      </c>
    </row>
    <row r="7" spans="1:7" x14ac:dyDescent="0.25">
      <c r="A7" s="3">
        <v>40330</v>
      </c>
      <c r="B7" s="6">
        <v>522857</v>
      </c>
      <c r="C7" s="7">
        <f t="shared" si="0"/>
        <v>212354</v>
      </c>
      <c r="D7" s="10">
        <v>5</v>
      </c>
      <c r="E7" s="5" t="s">
        <v>8</v>
      </c>
      <c r="F7" s="7">
        <f>AVERAGE(B2:B87)</f>
        <v>446309.04651162791</v>
      </c>
    </row>
    <row r="8" spans="1:7" x14ac:dyDescent="0.25">
      <c r="A8" s="3">
        <v>40360</v>
      </c>
      <c r="B8" s="6">
        <v>1033096</v>
      </c>
      <c r="C8" s="7">
        <f t="shared" si="0"/>
        <v>510239</v>
      </c>
      <c r="D8" s="10">
        <v>6</v>
      </c>
      <c r="E8" s="5" t="s">
        <v>9</v>
      </c>
      <c r="F8" s="7">
        <f>AVERAGE(C3:C87)</f>
        <v>-2315.1176470588234</v>
      </c>
    </row>
    <row r="9" spans="1:7" x14ac:dyDescent="0.25">
      <c r="A9" s="3">
        <v>40391</v>
      </c>
      <c r="B9" s="6">
        <v>604885</v>
      </c>
      <c r="C9" s="7">
        <f t="shared" si="0"/>
        <v>-428211</v>
      </c>
      <c r="D9" s="10">
        <v>7</v>
      </c>
      <c r="E9" s="5"/>
      <c r="F9" s="7"/>
      <c r="G9" s="8" t="s">
        <v>0</v>
      </c>
    </row>
    <row r="10" spans="1:7" x14ac:dyDescent="0.25">
      <c r="A10" s="3">
        <v>40422</v>
      </c>
      <c r="B10" s="6">
        <v>-216386</v>
      </c>
      <c r="C10" s="7">
        <f t="shared" si="0"/>
        <v>-821271</v>
      </c>
      <c r="D10" s="10">
        <v>8</v>
      </c>
      <c r="E10" s="5" t="s">
        <v>10</v>
      </c>
      <c r="F10" s="7">
        <f>MAX(B2:B87)</f>
        <v>1170593</v>
      </c>
      <c r="G10" s="3">
        <f>A27</f>
        <v>40940</v>
      </c>
    </row>
    <row r="11" spans="1:7" x14ac:dyDescent="0.25">
      <c r="A11" s="3">
        <v>40452</v>
      </c>
      <c r="B11" s="6">
        <v>477532</v>
      </c>
      <c r="C11" s="7">
        <f t="shared" si="0"/>
        <v>693918</v>
      </c>
      <c r="D11" s="10">
        <v>9</v>
      </c>
      <c r="E11" s="5" t="s">
        <v>11</v>
      </c>
      <c r="F11" s="7">
        <f>MIN(B2:B87)</f>
        <v>-1196225</v>
      </c>
      <c r="G11" s="3">
        <f>A46</f>
        <v>41518</v>
      </c>
    </row>
    <row r="12" spans="1:7" x14ac:dyDescent="0.25">
      <c r="A12" s="3">
        <v>40483</v>
      </c>
      <c r="B12" s="6">
        <v>893810</v>
      </c>
      <c r="C12" s="7">
        <f t="shared" si="0"/>
        <v>416278</v>
      </c>
      <c r="D12" s="10">
        <v>10</v>
      </c>
      <c r="E12" s="5"/>
      <c r="F12" s="7"/>
      <c r="G12" s="3"/>
    </row>
    <row r="13" spans="1:7" x14ac:dyDescent="0.25">
      <c r="A13" s="3">
        <v>40513</v>
      </c>
      <c r="B13" s="6">
        <v>-80353</v>
      </c>
      <c r="C13" s="7">
        <f t="shared" si="0"/>
        <v>-974163</v>
      </c>
      <c r="D13" s="10">
        <v>11</v>
      </c>
      <c r="E13" s="5" t="s">
        <v>12</v>
      </c>
      <c r="F13" s="7">
        <f>MAX(C3:C87)</f>
        <v>1926159</v>
      </c>
      <c r="G13" s="3">
        <f>A27</f>
        <v>40940</v>
      </c>
    </row>
    <row r="14" spans="1:7" x14ac:dyDescent="0.25">
      <c r="A14" s="3">
        <v>40544</v>
      </c>
      <c r="B14" s="6">
        <v>779806</v>
      </c>
      <c r="C14" s="7">
        <f t="shared" si="0"/>
        <v>860159</v>
      </c>
      <c r="D14" s="10">
        <v>12</v>
      </c>
      <c r="E14" s="5" t="s">
        <v>13</v>
      </c>
      <c r="F14" s="7">
        <f>MIN(C3:C87)</f>
        <v>-2196167</v>
      </c>
      <c r="G14" s="3">
        <f>A46</f>
        <v>41518</v>
      </c>
    </row>
    <row r="15" spans="1:7" x14ac:dyDescent="0.25">
      <c r="A15" s="3">
        <v>40575</v>
      </c>
      <c r="B15" s="6">
        <v>-335203</v>
      </c>
      <c r="C15" s="7">
        <f t="shared" si="0"/>
        <v>-1115009</v>
      </c>
      <c r="D15" s="10">
        <v>13</v>
      </c>
    </row>
    <row r="16" spans="1:7" x14ac:dyDescent="0.25">
      <c r="A16" s="3">
        <v>40603</v>
      </c>
      <c r="B16" s="6">
        <v>697845</v>
      </c>
      <c r="C16" s="7">
        <f t="shared" si="0"/>
        <v>1033048</v>
      </c>
      <c r="D16" s="10">
        <v>14</v>
      </c>
    </row>
    <row r="17" spans="1:4" x14ac:dyDescent="0.25">
      <c r="A17" s="3">
        <v>40634</v>
      </c>
      <c r="B17" s="6">
        <v>793163</v>
      </c>
      <c r="C17" s="7">
        <f t="shared" si="0"/>
        <v>95318</v>
      </c>
      <c r="D17" s="10">
        <v>15</v>
      </c>
    </row>
    <row r="18" spans="1:4" x14ac:dyDescent="0.25">
      <c r="A18" s="3">
        <v>40664</v>
      </c>
      <c r="B18" s="6">
        <v>485070</v>
      </c>
      <c r="C18" s="7">
        <f t="shared" si="0"/>
        <v>-308093</v>
      </c>
      <c r="D18" s="10">
        <v>16</v>
      </c>
    </row>
    <row r="19" spans="1:4" x14ac:dyDescent="0.25">
      <c r="A19" s="3">
        <v>40695</v>
      </c>
      <c r="B19" s="6">
        <v>584122</v>
      </c>
      <c r="C19" s="7">
        <f t="shared" si="0"/>
        <v>99052</v>
      </c>
      <c r="D19" s="10">
        <v>17</v>
      </c>
    </row>
    <row r="20" spans="1:4" x14ac:dyDescent="0.25">
      <c r="A20" s="3">
        <v>40725</v>
      </c>
      <c r="B20" s="6">
        <v>62729</v>
      </c>
      <c r="C20" s="7">
        <f t="shared" si="0"/>
        <v>-521393</v>
      </c>
      <c r="D20" s="10">
        <v>18</v>
      </c>
    </row>
    <row r="21" spans="1:4" x14ac:dyDescent="0.25">
      <c r="A21" s="3">
        <v>40756</v>
      </c>
      <c r="B21" s="6">
        <v>668179</v>
      </c>
      <c r="C21" s="7">
        <f t="shared" si="0"/>
        <v>605450</v>
      </c>
      <c r="D21" s="10">
        <v>19</v>
      </c>
    </row>
    <row r="22" spans="1:4" x14ac:dyDescent="0.25">
      <c r="A22" s="3">
        <v>40787</v>
      </c>
      <c r="B22" s="6">
        <v>899906</v>
      </c>
      <c r="C22" s="7">
        <f t="shared" si="0"/>
        <v>231727</v>
      </c>
      <c r="D22" s="10">
        <v>20</v>
      </c>
    </row>
    <row r="23" spans="1:4" x14ac:dyDescent="0.25">
      <c r="A23" s="3">
        <v>40817</v>
      </c>
      <c r="B23" s="6">
        <v>834719</v>
      </c>
      <c r="C23" s="7">
        <f t="shared" si="0"/>
        <v>-65187</v>
      </c>
      <c r="D23" s="10">
        <v>21</v>
      </c>
    </row>
    <row r="24" spans="1:4" x14ac:dyDescent="0.25">
      <c r="A24" s="3">
        <v>40848</v>
      </c>
      <c r="B24" s="6">
        <v>132003</v>
      </c>
      <c r="C24" s="7">
        <f t="shared" si="0"/>
        <v>-702716</v>
      </c>
      <c r="D24" s="10">
        <v>22</v>
      </c>
    </row>
    <row r="25" spans="1:4" x14ac:dyDescent="0.25">
      <c r="A25" s="3">
        <v>40878</v>
      </c>
      <c r="B25" s="6">
        <v>309978</v>
      </c>
      <c r="C25" s="7">
        <f t="shared" si="0"/>
        <v>177975</v>
      </c>
      <c r="D25" s="10">
        <v>23</v>
      </c>
    </row>
    <row r="26" spans="1:4" x14ac:dyDescent="0.25">
      <c r="A26" s="3">
        <v>40909</v>
      </c>
      <c r="B26" s="6">
        <v>-755566</v>
      </c>
      <c r="C26" s="7">
        <f t="shared" si="0"/>
        <v>-1065544</v>
      </c>
      <c r="D26" s="10">
        <v>24</v>
      </c>
    </row>
    <row r="27" spans="1:4" x14ac:dyDescent="0.25">
      <c r="A27" s="3">
        <v>40940</v>
      </c>
      <c r="B27" s="6">
        <v>1170593</v>
      </c>
      <c r="C27" s="7">
        <f t="shared" si="0"/>
        <v>1926159</v>
      </c>
      <c r="D27" s="10">
        <v>25</v>
      </c>
    </row>
    <row r="28" spans="1:4" x14ac:dyDescent="0.25">
      <c r="A28" s="3">
        <v>40969</v>
      </c>
      <c r="B28" s="6">
        <v>252788</v>
      </c>
      <c r="C28" s="7">
        <f t="shared" si="0"/>
        <v>-917805</v>
      </c>
      <c r="D28" s="10">
        <v>26</v>
      </c>
    </row>
    <row r="29" spans="1:4" x14ac:dyDescent="0.25">
      <c r="A29" s="3">
        <v>41000</v>
      </c>
      <c r="B29" s="6">
        <v>1151518</v>
      </c>
      <c r="C29" s="7">
        <f t="shared" si="0"/>
        <v>898730</v>
      </c>
      <c r="D29" s="10">
        <v>27</v>
      </c>
    </row>
    <row r="30" spans="1:4" x14ac:dyDescent="0.25">
      <c r="A30" s="3">
        <v>41030</v>
      </c>
      <c r="B30" s="6">
        <v>817256</v>
      </c>
      <c r="C30" s="7">
        <f t="shared" si="0"/>
        <v>-334262</v>
      </c>
      <c r="D30" s="10">
        <v>28</v>
      </c>
    </row>
    <row r="31" spans="1:4" x14ac:dyDescent="0.25">
      <c r="A31" s="3">
        <v>41061</v>
      </c>
      <c r="B31" s="6">
        <v>570757</v>
      </c>
      <c r="C31" s="7">
        <f t="shared" si="0"/>
        <v>-246499</v>
      </c>
      <c r="D31" s="10">
        <v>29</v>
      </c>
    </row>
    <row r="32" spans="1:4" x14ac:dyDescent="0.25">
      <c r="A32" s="3">
        <v>41091</v>
      </c>
      <c r="B32" s="6">
        <v>506702</v>
      </c>
      <c r="C32" s="7">
        <f t="shared" si="0"/>
        <v>-64055</v>
      </c>
      <c r="D32" s="10">
        <v>30</v>
      </c>
    </row>
    <row r="33" spans="1:4" x14ac:dyDescent="0.25">
      <c r="A33" s="3">
        <v>41122</v>
      </c>
      <c r="B33" s="6">
        <v>-1022534</v>
      </c>
      <c r="C33" s="7">
        <f t="shared" si="0"/>
        <v>-1529236</v>
      </c>
      <c r="D33" s="10">
        <v>31</v>
      </c>
    </row>
    <row r="34" spans="1:4" x14ac:dyDescent="0.25">
      <c r="A34" s="3">
        <v>41153</v>
      </c>
      <c r="B34" s="6">
        <v>475062</v>
      </c>
      <c r="C34" s="7">
        <f t="shared" si="0"/>
        <v>1497596</v>
      </c>
      <c r="D34" s="10">
        <v>32</v>
      </c>
    </row>
    <row r="35" spans="1:4" x14ac:dyDescent="0.25">
      <c r="A35" s="3">
        <v>41183</v>
      </c>
      <c r="B35" s="6">
        <v>779976</v>
      </c>
      <c r="C35" s="7">
        <f t="shared" si="0"/>
        <v>304914</v>
      </c>
      <c r="D35" s="10">
        <v>33</v>
      </c>
    </row>
    <row r="36" spans="1:4" x14ac:dyDescent="0.25">
      <c r="A36" s="3">
        <v>41214</v>
      </c>
      <c r="B36" s="6">
        <v>144175</v>
      </c>
      <c r="C36" s="7">
        <f t="shared" si="0"/>
        <v>-635801</v>
      </c>
      <c r="D36" s="10">
        <v>34</v>
      </c>
    </row>
    <row r="37" spans="1:4" x14ac:dyDescent="0.25">
      <c r="A37" s="3">
        <v>41244</v>
      </c>
      <c r="B37" s="6">
        <v>542494</v>
      </c>
      <c r="C37" s="7">
        <f t="shared" si="0"/>
        <v>398319</v>
      </c>
      <c r="D37" s="10">
        <v>35</v>
      </c>
    </row>
    <row r="38" spans="1:4" x14ac:dyDescent="0.25">
      <c r="A38" s="3">
        <v>41275</v>
      </c>
      <c r="B38" s="6">
        <v>359333</v>
      </c>
      <c r="C38" s="7">
        <f t="shared" si="0"/>
        <v>-183161</v>
      </c>
      <c r="D38" s="10">
        <v>36</v>
      </c>
    </row>
    <row r="39" spans="1:4" x14ac:dyDescent="0.25">
      <c r="A39" s="3">
        <v>41306</v>
      </c>
      <c r="B39" s="6">
        <v>321469</v>
      </c>
      <c r="C39" s="7">
        <f t="shared" si="0"/>
        <v>-37864</v>
      </c>
      <c r="D39" s="10">
        <v>37</v>
      </c>
    </row>
    <row r="40" spans="1:4" x14ac:dyDescent="0.25">
      <c r="A40" s="3">
        <v>41334</v>
      </c>
      <c r="B40" s="6">
        <v>67780</v>
      </c>
      <c r="C40" s="7">
        <f t="shared" si="0"/>
        <v>-253689</v>
      </c>
      <c r="D40" s="10">
        <v>38</v>
      </c>
    </row>
    <row r="41" spans="1:4" x14ac:dyDescent="0.25">
      <c r="A41" s="3">
        <v>41365</v>
      </c>
      <c r="B41" s="6">
        <v>471435</v>
      </c>
      <c r="C41" s="7">
        <f t="shared" si="0"/>
        <v>403655</v>
      </c>
      <c r="D41" s="10">
        <v>39</v>
      </c>
    </row>
    <row r="42" spans="1:4" x14ac:dyDescent="0.25">
      <c r="A42" s="3">
        <v>41395</v>
      </c>
      <c r="B42" s="6">
        <v>565603</v>
      </c>
      <c r="C42" s="7">
        <f t="shared" si="0"/>
        <v>94168</v>
      </c>
      <c r="D42" s="10">
        <v>40</v>
      </c>
    </row>
    <row r="43" spans="1:4" x14ac:dyDescent="0.25">
      <c r="A43" s="3">
        <v>41426</v>
      </c>
      <c r="B43" s="6">
        <v>872480</v>
      </c>
      <c r="C43" s="7">
        <f t="shared" si="0"/>
        <v>306877</v>
      </c>
      <c r="D43" s="10">
        <v>41</v>
      </c>
    </row>
    <row r="44" spans="1:4" x14ac:dyDescent="0.25">
      <c r="A44" s="3">
        <v>41456</v>
      </c>
      <c r="B44" s="6">
        <v>789480</v>
      </c>
      <c r="C44" s="7">
        <f t="shared" si="0"/>
        <v>-83000</v>
      </c>
      <c r="D44" s="10">
        <v>42</v>
      </c>
    </row>
    <row r="45" spans="1:4" x14ac:dyDescent="0.25">
      <c r="A45" s="3">
        <v>41487</v>
      </c>
      <c r="B45" s="6">
        <v>999942</v>
      </c>
      <c r="C45" s="7">
        <f t="shared" si="0"/>
        <v>210462</v>
      </c>
      <c r="D45" s="10">
        <v>43</v>
      </c>
    </row>
    <row r="46" spans="1:4" x14ac:dyDescent="0.25">
      <c r="A46" s="3">
        <v>41518</v>
      </c>
      <c r="B46" s="6">
        <v>-1196225</v>
      </c>
      <c r="C46" s="7">
        <f t="shared" si="0"/>
        <v>-2196167</v>
      </c>
      <c r="D46" s="10">
        <v>44</v>
      </c>
    </row>
    <row r="47" spans="1:4" x14ac:dyDescent="0.25">
      <c r="A47" s="3">
        <v>41548</v>
      </c>
      <c r="B47" s="6">
        <v>268997</v>
      </c>
      <c r="C47" s="7">
        <f t="shared" si="0"/>
        <v>1465222</v>
      </c>
      <c r="D47" s="10">
        <v>45</v>
      </c>
    </row>
    <row r="48" spans="1:4" x14ac:dyDescent="0.25">
      <c r="A48" s="3">
        <v>41579</v>
      </c>
      <c r="B48" s="6">
        <v>-687986</v>
      </c>
      <c r="C48" s="7">
        <f t="shared" si="0"/>
        <v>-956983</v>
      </c>
      <c r="D48" s="10">
        <v>46</v>
      </c>
    </row>
    <row r="49" spans="1:4" x14ac:dyDescent="0.25">
      <c r="A49" s="3">
        <v>41609</v>
      </c>
      <c r="B49" s="6">
        <v>1150461</v>
      </c>
      <c r="C49" s="7">
        <f t="shared" si="0"/>
        <v>1838447</v>
      </c>
      <c r="D49" s="10">
        <v>47</v>
      </c>
    </row>
    <row r="50" spans="1:4" x14ac:dyDescent="0.25">
      <c r="A50" s="3">
        <v>41640</v>
      </c>
      <c r="B50" s="6">
        <v>682458</v>
      </c>
      <c r="C50" s="7">
        <f t="shared" si="0"/>
        <v>-468003</v>
      </c>
      <c r="D50" s="10">
        <v>48</v>
      </c>
    </row>
    <row r="51" spans="1:4" x14ac:dyDescent="0.25">
      <c r="A51" s="3">
        <v>41671</v>
      </c>
      <c r="B51" s="6">
        <v>617856</v>
      </c>
      <c r="C51" s="7">
        <f t="shared" si="0"/>
        <v>-64602</v>
      </c>
      <c r="D51" s="10">
        <v>49</v>
      </c>
    </row>
    <row r="52" spans="1:4" x14ac:dyDescent="0.25">
      <c r="A52" s="3">
        <v>41699</v>
      </c>
      <c r="B52" s="6">
        <v>824098</v>
      </c>
      <c r="C52" s="7">
        <f t="shared" si="0"/>
        <v>206242</v>
      </c>
      <c r="D52" s="10">
        <v>50</v>
      </c>
    </row>
    <row r="53" spans="1:4" x14ac:dyDescent="0.25">
      <c r="A53" s="3">
        <v>41730</v>
      </c>
      <c r="B53" s="6">
        <v>581943</v>
      </c>
      <c r="C53" s="7">
        <f t="shared" si="0"/>
        <v>-242155</v>
      </c>
      <c r="D53" s="10">
        <v>51</v>
      </c>
    </row>
    <row r="54" spans="1:4" x14ac:dyDescent="0.25">
      <c r="A54" s="3">
        <v>41760</v>
      </c>
      <c r="B54" s="6">
        <v>132864</v>
      </c>
      <c r="C54" s="7">
        <f t="shared" si="0"/>
        <v>-449079</v>
      </c>
      <c r="D54" s="10">
        <v>52</v>
      </c>
    </row>
    <row r="55" spans="1:4" x14ac:dyDescent="0.25">
      <c r="A55" s="3">
        <v>41791</v>
      </c>
      <c r="B55" s="6">
        <v>448062</v>
      </c>
      <c r="C55" s="7">
        <f t="shared" si="0"/>
        <v>315198</v>
      </c>
      <c r="D55" s="10">
        <v>53</v>
      </c>
    </row>
    <row r="56" spans="1:4" x14ac:dyDescent="0.25">
      <c r="A56" s="3">
        <v>41821</v>
      </c>
      <c r="B56" s="6">
        <v>689161</v>
      </c>
      <c r="C56" s="7">
        <f t="shared" si="0"/>
        <v>241099</v>
      </c>
      <c r="D56" s="10">
        <v>54</v>
      </c>
    </row>
    <row r="57" spans="1:4" x14ac:dyDescent="0.25">
      <c r="A57" s="3">
        <v>41852</v>
      </c>
      <c r="B57" s="6">
        <v>800701</v>
      </c>
      <c r="C57" s="7">
        <f t="shared" si="0"/>
        <v>111540</v>
      </c>
      <c r="D57" s="10">
        <v>55</v>
      </c>
    </row>
    <row r="58" spans="1:4" x14ac:dyDescent="0.25">
      <c r="A58" s="3">
        <v>41883</v>
      </c>
      <c r="B58" s="6">
        <v>1166643</v>
      </c>
      <c r="C58" s="7">
        <f t="shared" si="0"/>
        <v>365942</v>
      </c>
      <c r="D58" s="10">
        <v>56</v>
      </c>
    </row>
    <row r="59" spans="1:4" x14ac:dyDescent="0.25">
      <c r="A59" s="3">
        <v>41913</v>
      </c>
      <c r="B59" s="6">
        <v>947333</v>
      </c>
      <c r="C59" s="7">
        <f t="shared" si="0"/>
        <v>-219310</v>
      </c>
      <c r="D59" s="10">
        <v>57</v>
      </c>
    </row>
    <row r="60" spans="1:4" x14ac:dyDescent="0.25">
      <c r="A60" s="3">
        <v>41944</v>
      </c>
      <c r="B60" s="6">
        <v>578668</v>
      </c>
      <c r="C60" s="7">
        <f t="shared" si="0"/>
        <v>-368665</v>
      </c>
      <c r="D60" s="10">
        <v>58</v>
      </c>
    </row>
    <row r="61" spans="1:4" x14ac:dyDescent="0.25">
      <c r="A61" s="3">
        <v>41974</v>
      </c>
      <c r="B61" s="6">
        <v>988505</v>
      </c>
      <c r="C61" s="7">
        <f t="shared" si="0"/>
        <v>409837</v>
      </c>
      <c r="D61" s="10">
        <v>59</v>
      </c>
    </row>
    <row r="62" spans="1:4" x14ac:dyDescent="0.25">
      <c r="A62" s="3">
        <v>42005</v>
      </c>
      <c r="B62" s="6">
        <v>1139715</v>
      </c>
      <c r="C62" s="7">
        <f t="shared" si="0"/>
        <v>151210</v>
      </c>
      <c r="D62" s="10">
        <v>60</v>
      </c>
    </row>
    <row r="63" spans="1:4" x14ac:dyDescent="0.25">
      <c r="A63" s="3">
        <v>42036</v>
      </c>
      <c r="B63" s="6">
        <v>1029471</v>
      </c>
      <c r="C63" s="7">
        <f t="shared" si="0"/>
        <v>-110244</v>
      </c>
      <c r="D63" s="10">
        <v>61</v>
      </c>
    </row>
    <row r="64" spans="1:4" x14ac:dyDescent="0.25">
      <c r="A64" s="3">
        <v>42064</v>
      </c>
      <c r="B64" s="6">
        <v>687533</v>
      </c>
      <c r="C64" s="7">
        <f t="shared" si="0"/>
        <v>-341938</v>
      </c>
      <c r="D64" s="10">
        <v>62</v>
      </c>
    </row>
    <row r="65" spans="1:4" x14ac:dyDescent="0.25">
      <c r="A65" s="3">
        <v>42095</v>
      </c>
      <c r="B65" s="6">
        <v>-524626</v>
      </c>
      <c r="C65" s="7">
        <f t="shared" si="0"/>
        <v>-1212159</v>
      </c>
      <c r="D65" s="10">
        <v>63</v>
      </c>
    </row>
    <row r="66" spans="1:4" x14ac:dyDescent="0.25">
      <c r="A66" s="3">
        <v>42125</v>
      </c>
      <c r="B66" s="6">
        <v>158620</v>
      </c>
      <c r="C66" s="7">
        <f t="shared" si="0"/>
        <v>683246</v>
      </c>
      <c r="D66" s="10">
        <v>64</v>
      </c>
    </row>
    <row r="67" spans="1:4" x14ac:dyDescent="0.25">
      <c r="A67" s="3">
        <v>42156</v>
      </c>
      <c r="B67" s="6">
        <v>87795</v>
      </c>
      <c r="C67" s="7">
        <f t="shared" si="0"/>
        <v>-70825</v>
      </c>
      <c r="D67" s="10">
        <v>65</v>
      </c>
    </row>
    <row r="68" spans="1:4" x14ac:dyDescent="0.25">
      <c r="A68" s="3">
        <v>42186</v>
      </c>
      <c r="B68" s="6">
        <v>423389</v>
      </c>
      <c r="C68" s="7">
        <f t="shared" ref="C68:C87" si="1">B68-B67</f>
        <v>335594</v>
      </c>
      <c r="D68" s="10">
        <v>66</v>
      </c>
    </row>
    <row r="69" spans="1:4" x14ac:dyDescent="0.25">
      <c r="A69" s="3">
        <v>42217</v>
      </c>
      <c r="B69" s="6">
        <v>840723</v>
      </c>
      <c r="C69" s="7">
        <f t="shared" si="1"/>
        <v>417334</v>
      </c>
      <c r="D69" s="10">
        <v>67</v>
      </c>
    </row>
    <row r="70" spans="1:4" x14ac:dyDescent="0.25">
      <c r="A70" s="3">
        <v>42248</v>
      </c>
      <c r="B70" s="6">
        <v>568529</v>
      </c>
      <c r="C70" s="7">
        <f t="shared" si="1"/>
        <v>-272194</v>
      </c>
      <c r="D70" s="10">
        <v>68</v>
      </c>
    </row>
    <row r="71" spans="1:4" x14ac:dyDescent="0.25">
      <c r="A71" s="3">
        <v>42278</v>
      </c>
      <c r="B71" s="6">
        <v>332067</v>
      </c>
      <c r="C71" s="7">
        <f t="shared" si="1"/>
        <v>-236462</v>
      </c>
      <c r="D71" s="10">
        <v>69</v>
      </c>
    </row>
    <row r="72" spans="1:4" x14ac:dyDescent="0.25">
      <c r="A72" s="3">
        <v>42309</v>
      </c>
      <c r="B72" s="6">
        <v>989499</v>
      </c>
      <c r="C72" s="7">
        <f t="shared" si="1"/>
        <v>657432</v>
      </c>
      <c r="D72" s="10">
        <v>70</v>
      </c>
    </row>
    <row r="73" spans="1:4" x14ac:dyDescent="0.25">
      <c r="A73" s="3">
        <v>42339</v>
      </c>
      <c r="B73" s="6">
        <v>778237</v>
      </c>
      <c r="C73" s="7">
        <f t="shared" si="1"/>
        <v>-211262</v>
      </c>
      <c r="D73" s="10">
        <v>71</v>
      </c>
    </row>
    <row r="74" spans="1:4" x14ac:dyDescent="0.25">
      <c r="A74" s="3">
        <v>42370</v>
      </c>
      <c r="B74" s="6">
        <v>650000</v>
      </c>
      <c r="C74" s="7">
        <f t="shared" si="1"/>
        <v>-128237</v>
      </c>
      <c r="D74" s="10">
        <v>72</v>
      </c>
    </row>
    <row r="75" spans="1:4" x14ac:dyDescent="0.25">
      <c r="A75" s="3">
        <v>42401</v>
      </c>
      <c r="B75" s="6">
        <v>-1100387</v>
      </c>
      <c r="C75" s="7">
        <f t="shared" si="1"/>
        <v>-1750387</v>
      </c>
      <c r="D75" s="10">
        <v>73</v>
      </c>
    </row>
    <row r="76" spans="1:4" x14ac:dyDescent="0.25">
      <c r="A76" s="3">
        <v>42430</v>
      </c>
      <c r="B76" s="6">
        <v>-174946</v>
      </c>
      <c r="C76" s="7">
        <f t="shared" si="1"/>
        <v>925441</v>
      </c>
      <c r="D76" s="10">
        <v>74</v>
      </c>
    </row>
    <row r="77" spans="1:4" x14ac:dyDescent="0.25">
      <c r="A77" s="3">
        <v>42461</v>
      </c>
      <c r="B77" s="6">
        <v>757143</v>
      </c>
      <c r="C77" s="7">
        <f t="shared" si="1"/>
        <v>932089</v>
      </c>
      <c r="D77" s="10">
        <v>75</v>
      </c>
    </row>
    <row r="78" spans="1:4" x14ac:dyDescent="0.25">
      <c r="A78" s="3">
        <v>42491</v>
      </c>
      <c r="B78" s="6">
        <v>445709</v>
      </c>
      <c r="C78" s="7">
        <f t="shared" si="1"/>
        <v>-311434</v>
      </c>
      <c r="D78" s="10">
        <v>76</v>
      </c>
    </row>
    <row r="79" spans="1:4" x14ac:dyDescent="0.25">
      <c r="A79" s="3">
        <v>42522</v>
      </c>
      <c r="B79" s="6">
        <v>712961</v>
      </c>
      <c r="C79" s="7">
        <f t="shared" si="1"/>
        <v>267252</v>
      </c>
      <c r="D79" s="10">
        <v>77</v>
      </c>
    </row>
    <row r="80" spans="1:4" x14ac:dyDescent="0.25">
      <c r="A80" s="3">
        <v>42552</v>
      </c>
      <c r="B80" s="6">
        <v>-1163797</v>
      </c>
      <c r="C80" s="7">
        <f t="shared" si="1"/>
        <v>-1876758</v>
      </c>
      <c r="D80" s="10">
        <v>78</v>
      </c>
    </row>
    <row r="81" spans="1:4" x14ac:dyDescent="0.25">
      <c r="A81" s="3">
        <v>42583</v>
      </c>
      <c r="B81" s="6">
        <v>569899</v>
      </c>
      <c r="C81" s="7">
        <f t="shared" si="1"/>
        <v>1733696</v>
      </c>
      <c r="D81" s="10">
        <v>79</v>
      </c>
    </row>
    <row r="82" spans="1:4" x14ac:dyDescent="0.25">
      <c r="A82" s="3">
        <v>42614</v>
      </c>
      <c r="B82" s="6">
        <v>768450</v>
      </c>
      <c r="C82" s="7">
        <f t="shared" si="1"/>
        <v>198551</v>
      </c>
      <c r="D82" s="10">
        <v>80</v>
      </c>
    </row>
    <row r="83" spans="1:4" x14ac:dyDescent="0.25">
      <c r="A83" s="3">
        <v>42644</v>
      </c>
      <c r="B83" s="6">
        <v>102685</v>
      </c>
      <c r="C83" s="7">
        <f t="shared" si="1"/>
        <v>-665765</v>
      </c>
      <c r="D83" s="10">
        <v>81</v>
      </c>
    </row>
    <row r="84" spans="1:4" x14ac:dyDescent="0.25">
      <c r="A84" s="3">
        <v>42675</v>
      </c>
      <c r="B84" s="6">
        <v>795914</v>
      </c>
      <c r="C84" s="7">
        <f t="shared" si="1"/>
        <v>693229</v>
      </c>
      <c r="D84" s="10">
        <v>82</v>
      </c>
    </row>
    <row r="85" spans="1:4" x14ac:dyDescent="0.25">
      <c r="A85" s="3">
        <v>42705</v>
      </c>
      <c r="B85" s="6">
        <v>60988</v>
      </c>
      <c r="C85" s="7">
        <f t="shared" si="1"/>
        <v>-734926</v>
      </c>
      <c r="D85" s="10">
        <v>83</v>
      </c>
    </row>
    <row r="86" spans="1:4" x14ac:dyDescent="0.25">
      <c r="A86" s="3">
        <v>42736</v>
      </c>
      <c r="B86" s="6">
        <v>138230</v>
      </c>
      <c r="C86" s="7">
        <f t="shared" si="1"/>
        <v>77242</v>
      </c>
      <c r="D86" s="10">
        <v>84</v>
      </c>
    </row>
    <row r="87" spans="1:4" x14ac:dyDescent="0.25">
      <c r="A87" s="3">
        <v>42767</v>
      </c>
      <c r="B87" s="6">
        <v>671099</v>
      </c>
      <c r="C87" s="7">
        <f t="shared" si="1"/>
        <v>532869</v>
      </c>
      <c r="D87" s="10">
        <v>85</v>
      </c>
    </row>
    <row r="88" spans="1:4" x14ac:dyDescent="0.25">
      <c r="C88" s="7"/>
    </row>
  </sheetData>
  <autoFilter ref="A1:C87" xr:uid="{0FE674D5-7C5F-48C9-B1EA-880E86A2E1EA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PyBank_PnL</vt:lpstr>
      <vt:lpstr>PyBank_PnL_Excel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Corsair_Barillas</dc:creator>
  <cp:lastModifiedBy>FAB</cp:lastModifiedBy>
  <dcterms:created xsi:type="dcterms:W3CDTF">2021-01-07T01:55:25Z</dcterms:created>
  <dcterms:modified xsi:type="dcterms:W3CDTF">2021-01-15T02:46:40Z</dcterms:modified>
</cp:coreProperties>
</file>